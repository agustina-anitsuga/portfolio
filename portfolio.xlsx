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gustina/IdeaProjects/portfolio/"/>
    </mc:Choice>
  </mc:AlternateContent>
  <xr:revisionPtr revIDLastSave="0" documentId="13_ncr:1_{8DFD7EFE-C208-704C-A496-34B6FAF37F36}" xr6:coauthVersionLast="47" xr6:coauthVersionMax="47" xr10:uidLastSave="{00000000-0000-0000-0000-000000000000}"/>
  <bookViews>
    <workbookView xWindow="14700" yWindow="660" windowWidth="14700" windowHeight="18460" firstSheet="1" activeTab="6" xr2:uid="{00000000-000D-0000-FFFF-FFFF00000000}"/>
  </bookViews>
  <sheets>
    <sheet name="config" sheetId="1" r:id="rId1"/>
    <sheet name="instrumentos" sheetId="2" r:id="rId2"/>
    <sheet name="tx-usd" sheetId="3" r:id="rId3"/>
    <sheet name="tx-cedears" sheetId="4" r:id="rId4"/>
    <sheet name="tx-merval" sheetId="5" r:id="rId5"/>
    <sheet name="tx-rsu" sheetId="6" r:id="rId6"/>
    <sheet name="tx-bonds" sheetId="7" r:id="rId7"/>
  </sheets>
  <definedNames>
    <definedName name="_xlnm._FilterDatabase" localSheetId="1" hidden="1">instrumentos!$A$1:$I$31</definedName>
    <definedName name="_xlnm._FilterDatabase" localSheetId="3" hidden="1">'tx-cedears'!$A$1:$H$66</definedName>
    <definedName name="_xlnm._FilterDatabase" localSheetId="4" hidden="1">'tx-merval'!$A$1:$H$2</definedName>
    <definedName name="_xlnm._FilterDatabase" localSheetId="2" hidden="1">'tx-usd'!$A$1:$G$2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6" l="1"/>
  <c r="G2" i="3"/>
</calcChain>
</file>

<file path=xl/sharedStrings.xml><?xml version="1.0" encoding="utf-8"?>
<sst xmlns="http://schemas.openxmlformats.org/spreadsheetml/2006/main" count="264" uniqueCount="113">
  <si>
    <t>Parametro</t>
  </si>
  <si>
    <t>Key</t>
  </si>
  <si>
    <t>Valor</t>
  </si>
  <si>
    <t>Notas</t>
  </si>
  <si>
    <t>USD/ARS Manual (respaldo)</t>
  </si>
  <si>
    <t>Nombre</t>
  </si>
  <si>
    <t>Se usa solo si PPI no puede calcular el dolar MEP (AL30/AL30D). Cuantos ARS vale 1 USD.</t>
  </si>
  <si>
    <t>Tipo PPI</t>
  </si>
  <si>
    <t>Settlement PPI</t>
  </si>
  <si>
    <t>Ratio (cedears)</t>
  </si>
  <si>
    <t>Sector</t>
  </si>
  <si>
    <t>Moneda Origen</t>
  </si>
  <si>
    <t>Precio Manual (si PPI no cotiza)</t>
  </si>
  <si>
    <t>Tipo (Stock/ETF)</t>
  </si>
  <si>
    <t>Op</t>
  </si>
  <si>
    <t>AAPL</t>
  </si>
  <si>
    <t>Apple Inc</t>
  </si>
  <si>
    <t>CEDEARS</t>
  </si>
  <si>
    <t>Units</t>
  </si>
  <si>
    <t>A-48HS</t>
  </si>
  <si>
    <t>Date</t>
  </si>
  <si>
    <t>Technology</t>
  </si>
  <si>
    <t>USD</t>
  </si>
  <si>
    <t>Stock</t>
  </si>
  <si>
    <t>Share Price (@Origin)</t>
  </si>
  <si>
    <t>AMZN</t>
  </si>
  <si>
    <t>Amazon.com, Inc.</t>
  </si>
  <si>
    <t>Total amount (@Origin)</t>
  </si>
  <si>
    <t>Consumer Cyclical</t>
  </si>
  <si>
    <t>Total amount (ARS) [opcional]</t>
  </si>
  <si>
    <t>AXP</t>
  </si>
  <si>
    <t>BTC</t>
  </si>
  <si>
    <t>American Express Company</t>
  </si>
  <si>
    <t>Units (@Local)</t>
  </si>
  <si>
    <t>BUY</t>
  </si>
  <si>
    <t>Financial</t>
  </si>
  <si>
    <t>BA.C</t>
  </si>
  <si>
    <t>Bank of America Corp</t>
  </si>
  <si>
    <t>Total amount (@Local)</t>
  </si>
  <si>
    <t>BRKB</t>
  </si>
  <si>
    <t>Berkshire Hathaway Inc. Class B</t>
  </si>
  <si>
    <t>Ratio</t>
  </si>
  <si>
    <t>SCHD</t>
  </si>
  <si>
    <t>SPY</t>
  </si>
  <si>
    <t>Grayscale Bitcoin Mini Trust ETF</t>
  </si>
  <si>
    <t>Crypto Assets</t>
  </si>
  <si>
    <t>30/09/2025</t>
  </si>
  <si>
    <t>QUBX</t>
  </si>
  <si>
    <t>ETF</t>
  </si>
  <si>
    <t>EWY</t>
  </si>
  <si>
    <t>Ishares Msci South Korea ETF</t>
  </si>
  <si>
    <t>XLF</t>
  </si>
  <si>
    <t>SGOV</t>
  </si>
  <si>
    <t>EWZ</t>
  </si>
  <si>
    <t>Ishares Msci Brazil ETF</t>
  </si>
  <si>
    <t>Meta Platforms Inc</t>
  </si>
  <si>
    <t>Communication Services</t>
  </si>
  <si>
    <t>GLD</t>
  </si>
  <si>
    <t>SPDR Gold Trust</t>
  </si>
  <si>
    <t>KO</t>
  </si>
  <si>
    <t>Commodities</t>
  </si>
  <si>
    <t>GOOGL</t>
  </si>
  <si>
    <t>Alphabet Inc Class A</t>
  </si>
  <si>
    <t>GS</t>
  </si>
  <si>
    <t>Goldman Sachs Group Inc</t>
  </si>
  <si>
    <t>IBB</t>
  </si>
  <si>
    <t>iShares Biotechnology ETF</t>
  </si>
  <si>
    <t>Biotechnology</t>
  </si>
  <si>
    <t>Coca-Cola Co</t>
  </si>
  <si>
    <t>Consumer Defensive</t>
  </si>
  <si>
    <t>MSFT</t>
  </si>
  <si>
    <t>Microsoft Corporation</t>
  </si>
  <si>
    <t>PEP</t>
  </si>
  <si>
    <t>MU</t>
  </si>
  <si>
    <t>Micron Technology Inc</t>
  </si>
  <si>
    <t>NVDA</t>
  </si>
  <si>
    <t>NVIDIA Corporation</t>
  </si>
  <si>
    <t>PepsiCo, Inc.</t>
  </si>
  <si>
    <t>QQQ</t>
  </si>
  <si>
    <t>Invesco QQQ Trust Series 1</t>
  </si>
  <si>
    <t>Tradr 2X Long QUBT Daily ETF</t>
  </si>
  <si>
    <t>Schwab US Dividend Equity ETF</t>
  </si>
  <si>
    <t>Dividend Equity</t>
  </si>
  <si>
    <t>iShares 0-3 Month Treasury Bond ETF</t>
  </si>
  <si>
    <t>Fixed Income</t>
  </si>
  <si>
    <t>SNDK</t>
  </si>
  <si>
    <t>V</t>
  </si>
  <si>
    <t>SanDisk Corp</t>
  </si>
  <si>
    <t>SPDR S&amp;P 500 ETF Trust</t>
  </si>
  <si>
    <t>Visa Inc</t>
  </si>
  <si>
    <t>State Street Financial Sel Sec SPDR ETF</t>
  </si>
  <si>
    <t>XLP</t>
  </si>
  <si>
    <t>State Street Consumer Staples Sel Sect SPDR ETF</t>
  </si>
  <si>
    <t>YPFD</t>
  </si>
  <si>
    <t>YPF SA</t>
  </si>
  <si>
    <t>ACCIONES</t>
  </si>
  <si>
    <t>Energy</t>
  </si>
  <si>
    <t>ARS</t>
  </si>
  <si>
    <t>JPM</t>
  </si>
  <si>
    <t>JPMorgan Chase &amp; Co. (RSU)</t>
  </si>
  <si>
    <t>ACCIONES-USA</t>
  </si>
  <si>
    <t>AO28</t>
  </si>
  <si>
    <t>Bonar 2028 (AO28)</t>
  </si>
  <si>
    <t>BONOS</t>
  </si>
  <si>
    <t>INMEDIATA</t>
  </si>
  <si>
    <t>Renta Fija</t>
  </si>
  <si>
    <t>Bono</t>
  </si>
  <si>
    <t>Share Price (ARS)</t>
  </si>
  <si>
    <t>Total amount (ARS)</t>
  </si>
  <si>
    <t>Total amount (USD)</t>
  </si>
  <si>
    <t>Share Price (USD) [ref]</t>
  </si>
  <si>
    <t>2026-11-06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</si>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</sst>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 wrapText="1"/>
    </xf>
    <xf numFmtId="16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4.5" defaultRowHeight="15" customHeight="1" x14ac:dyDescent="0.2"/>
  <cols>
    <col min="1" max="1" width="30" customWidth="1"/>
    <col min="2" max="2" width="14" customWidth="1"/>
    <col min="3" max="3" width="70" customWidth="1"/>
    <col min="4" max="26" width="8.6640625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s="3" t="s">
        <v>4</v>
      </c>
      <c r="C2" s="3" t="s">
        <v>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pane ySplit="1" topLeftCell="A2" activePane="bottomLeft" state="frozen"/>
      <selection pane="bottomLeft" activeCell="C7" sqref="C7"/>
    </sheetView>
  </sheetViews>
  <sheetFormatPr baseColWidth="10" defaultColWidth="14.5" defaultRowHeight="15" customHeight="1" x14ac:dyDescent="0.2"/>
  <cols>
    <col min="1" max="1" width="12" customWidth="1"/>
    <col min="2" max="2" width="34" customWidth="1"/>
    <col min="3" max="3" width="12" customWidth="1"/>
    <col min="4" max="5" width="14" customWidth="1"/>
    <col min="6" max="6" width="22" customWidth="1"/>
    <col min="7" max="7" width="12" customWidth="1"/>
    <col min="8" max="8" width="26" customWidth="1"/>
    <col min="9" max="9" width="16" customWidth="1"/>
    <col min="10" max="26" width="8.6640625" customWidth="1"/>
  </cols>
  <sheetData>
    <row r="1" spans="1:9" ht="16" x14ac:dyDescent="0.2">
      <c r="A1" s="2" t="s">
        <v>1</v>
      </c>
      <c r="B1" s="2" t="s">
        <v>5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4" t="s">
        <v>13</v>
      </c>
    </row>
    <row r="2" spans="1:9" x14ac:dyDescent="0.2">
      <c r="A2" s="3" t="s">
        <v>15</v>
      </c>
      <c r="B2" s="3" t="s">
        <v>16</v>
      </c>
      <c r="C2" s="3" t="s">
        <v>17</v>
      </c>
      <c r="D2" s="3" t="s">
        <v>19</v>
      </c>
      <c r="E2" s="3">
        <v>20</v>
      </c>
      <c r="F2" s="3" t="s">
        <v>21</v>
      </c>
      <c r="G2" s="3" t="s">
        <v>22</v>
      </c>
      <c r="I2" s="3" t="s">
        <v>23</v>
      </c>
    </row>
    <row r="3" spans="1:9" x14ac:dyDescent="0.2">
      <c r="A3" s="3" t="s">
        <v>25</v>
      </c>
      <c r="B3" s="3" t="s">
        <v>26</v>
      </c>
      <c r="C3" s="3" t="s">
        <v>17</v>
      </c>
      <c r="D3" s="3" t="s">
        <v>19</v>
      </c>
      <c r="E3" s="3">
        <v>144</v>
      </c>
      <c r="F3" s="3" t="s">
        <v>28</v>
      </c>
      <c r="G3" s="3" t="s">
        <v>22</v>
      </c>
      <c r="I3" s="3" t="s">
        <v>23</v>
      </c>
    </row>
    <row r="4" spans="1:9" x14ac:dyDescent="0.2">
      <c r="A4" s="3" t="s">
        <v>30</v>
      </c>
      <c r="B4" s="3" t="s">
        <v>32</v>
      </c>
      <c r="C4" s="3" t="s">
        <v>17</v>
      </c>
      <c r="D4" s="3" t="s">
        <v>19</v>
      </c>
      <c r="E4" s="3">
        <v>15</v>
      </c>
      <c r="F4" s="3" t="s">
        <v>35</v>
      </c>
      <c r="G4" s="3" t="s">
        <v>22</v>
      </c>
      <c r="I4" s="3" t="s">
        <v>23</v>
      </c>
    </row>
    <row r="5" spans="1:9" x14ac:dyDescent="0.2">
      <c r="A5" s="3" t="s">
        <v>36</v>
      </c>
      <c r="B5" s="3" t="s">
        <v>37</v>
      </c>
      <c r="C5" s="3" t="s">
        <v>17</v>
      </c>
      <c r="D5" s="3" t="s">
        <v>19</v>
      </c>
      <c r="E5" s="3">
        <v>4</v>
      </c>
      <c r="F5" s="3" t="s">
        <v>35</v>
      </c>
      <c r="G5" s="3" t="s">
        <v>22</v>
      </c>
      <c r="I5" s="3" t="s">
        <v>23</v>
      </c>
    </row>
    <row r="6" spans="1:9" x14ac:dyDescent="0.2">
      <c r="A6" s="3" t="s">
        <v>39</v>
      </c>
      <c r="B6" s="3" t="s">
        <v>40</v>
      </c>
      <c r="C6" s="3" t="s">
        <v>17</v>
      </c>
      <c r="D6" s="3" t="s">
        <v>19</v>
      </c>
      <c r="E6" s="3">
        <v>22</v>
      </c>
      <c r="F6" s="3" t="s">
        <v>35</v>
      </c>
      <c r="G6" s="3" t="s">
        <v>22</v>
      </c>
      <c r="I6" s="3" t="s">
        <v>23</v>
      </c>
    </row>
    <row r="7" spans="1:9" x14ac:dyDescent="0.2">
      <c r="A7" s="3" t="s">
        <v>31</v>
      </c>
      <c r="B7" s="3" t="s">
        <v>44</v>
      </c>
      <c r="E7" s="3">
        <v>1</v>
      </c>
      <c r="F7" s="3" t="s">
        <v>45</v>
      </c>
      <c r="G7" s="3" t="s">
        <v>22</v>
      </c>
      <c r="I7" s="3" t="s">
        <v>48</v>
      </c>
    </row>
    <row r="8" spans="1:9" x14ac:dyDescent="0.2">
      <c r="A8" s="3" t="s">
        <v>49</v>
      </c>
      <c r="B8" s="3" t="s">
        <v>50</v>
      </c>
      <c r="C8" s="3" t="s">
        <v>17</v>
      </c>
      <c r="D8" s="3" t="s">
        <v>19</v>
      </c>
      <c r="E8" s="3">
        <v>50</v>
      </c>
      <c r="F8" s="3" t="s">
        <v>35</v>
      </c>
      <c r="G8" s="3" t="s">
        <v>22</v>
      </c>
      <c r="I8" s="3" t="s">
        <v>48</v>
      </c>
    </row>
    <row r="9" spans="1:9" x14ac:dyDescent="0.2">
      <c r="A9" s="3" t="s">
        <v>53</v>
      </c>
      <c r="B9" s="3" t="s">
        <v>54</v>
      </c>
      <c r="C9" s="3" t="s">
        <v>17</v>
      </c>
      <c r="D9" s="3" t="s">
        <v>19</v>
      </c>
      <c r="E9" s="3">
        <v>2</v>
      </c>
      <c r="F9" s="3" t="s">
        <v>35</v>
      </c>
      <c r="G9" s="3" t="s">
        <v>22</v>
      </c>
      <c r="I9" s="3" t="s">
        <v>48</v>
      </c>
    </row>
    <row r="10" spans="1:9" x14ac:dyDescent="0.2">
      <c r="A10" s="6" t="s">
        <v>112</v>
      </c>
      <c r="B10" s="3" t="s">
        <v>55</v>
      </c>
      <c r="C10" s="3" t="s">
        <v>17</v>
      </c>
      <c r="D10" s="3" t="s">
        <v>19</v>
      </c>
      <c r="E10" s="3">
        <v>24</v>
      </c>
      <c r="F10" s="3" t="s">
        <v>56</v>
      </c>
      <c r="G10" s="3" t="s">
        <v>22</v>
      </c>
      <c r="I10" s="3" t="s">
        <v>23</v>
      </c>
    </row>
    <row r="11" spans="1:9" x14ac:dyDescent="0.2">
      <c r="A11" s="3" t="s">
        <v>57</v>
      </c>
      <c r="B11" s="3" t="s">
        <v>58</v>
      </c>
      <c r="C11" s="3" t="s">
        <v>17</v>
      </c>
      <c r="D11" s="3" t="s">
        <v>19</v>
      </c>
      <c r="E11" s="3">
        <v>50</v>
      </c>
      <c r="F11" s="3" t="s">
        <v>60</v>
      </c>
      <c r="G11" s="3" t="s">
        <v>22</v>
      </c>
      <c r="I11" s="3" t="s">
        <v>48</v>
      </c>
    </row>
    <row r="12" spans="1:9" x14ac:dyDescent="0.2">
      <c r="A12" s="3" t="s">
        <v>61</v>
      </c>
      <c r="B12" s="3" t="s">
        <v>62</v>
      </c>
      <c r="C12" s="3" t="s">
        <v>17</v>
      </c>
      <c r="D12" s="3" t="s">
        <v>19</v>
      </c>
      <c r="E12" s="3">
        <v>58</v>
      </c>
      <c r="F12" s="3" t="s">
        <v>56</v>
      </c>
      <c r="G12" s="3" t="s">
        <v>22</v>
      </c>
      <c r="I12" s="3" t="s">
        <v>23</v>
      </c>
    </row>
    <row r="13" spans="1:9" x14ac:dyDescent="0.2">
      <c r="A13" s="3" t="s">
        <v>63</v>
      </c>
      <c r="B13" s="3" t="s">
        <v>64</v>
      </c>
      <c r="C13" s="3" t="s">
        <v>17</v>
      </c>
      <c r="D13" s="3" t="s">
        <v>19</v>
      </c>
      <c r="E13" s="3">
        <v>13</v>
      </c>
      <c r="F13" s="3" t="s">
        <v>35</v>
      </c>
      <c r="G13" s="3" t="s">
        <v>22</v>
      </c>
      <c r="I13" s="3" t="s">
        <v>23</v>
      </c>
    </row>
    <row r="14" spans="1:9" x14ac:dyDescent="0.2">
      <c r="A14" s="3" t="s">
        <v>65</v>
      </c>
      <c r="B14" s="3" t="s">
        <v>66</v>
      </c>
      <c r="C14" s="3" t="s">
        <v>17</v>
      </c>
      <c r="D14" s="3" t="s">
        <v>19</v>
      </c>
      <c r="E14" s="3">
        <v>27</v>
      </c>
      <c r="F14" s="3" t="s">
        <v>67</v>
      </c>
      <c r="G14" s="3" t="s">
        <v>22</v>
      </c>
      <c r="I14" s="3" t="s">
        <v>48</v>
      </c>
    </row>
    <row r="15" spans="1:9" x14ac:dyDescent="0.2">
      <c r="A15" s="3" t="s">
        <v>59</v>
      </c>
      <c r="B15" s="3" t="s">
        <v>68</v>
      </c>
      <c r="C15" s="3" t="s">
        <v>17</v>
      </c>
      <c r="D15" s="3" t="s">
        <v>19</v>
      </c>
      <c r="E15" s="3">
        <v>5</v>
      </c>
      <c r="F15" s="3" t="s">
        <v>69</v>
      </c>
      <c r="G15" s="3" t="s">
        <v>22</v>
      </c>
      <c r="I15" s="3" t="s">
        <v>23</v>
      </c>
    </row>
    <row r="16" spans="1:9" x14ac:dyDescent="0.2">
      <c r="A16" s="3" t="s">
        <v>70</v>
      </c>
      <c r="B16" s="3" t="s">
        <v>71</v>
      </c>
      <c r="C16" s="3" t="s">
        <v>17</v>
      </c>
      <c r="D16" s="3" t="s">
        <v>19</v>
      </c>
      <c r="E16" s="3">
        <v>30</v>
      </c>
      <c r="F16" s="3" t="s">
        <v>21</v>
      </c>
      <c r="G16" s="3" t="s">
        <v>22</v>
      </c>
      <c r="I16" s="3" t="s">
        <v>23</v>
      </c>
    </row>
    <row r="17" spans="1:9" x14ac:dyDescent="0.2">
      <c r="A17" s="3" t="s">
        <v>73</v>
      </c>
      <c r="B17" s="3" t="s">
        <v>74</v>
      </c>
      <c r="C17" s="3" t="s">
        <v>17</v>
      </c>
      <c r="D17" s="3" t="s">
        <v>19</v>
      </c>
      <c r="E17" s="3">
        <v>5</v>
      </c>
      <c r="F17" s="3" t="s">
        <v>21</v>
      </c>
      <c r="G17" s="3" t="s">
        <v>22</v>
      </c>
      <c r="I17" s="3" t="s">
        <v>23</v>
      </c>
    </row>
    <row r="18" spans="1:9" x14ac:dyDescent="0.2">
      <c r="A18" s="3" t="s">
        <v>75</v>
      </c>
      <c r="B18" s="3" t="s">
        <v>76</v>
      </c>
      <c r="C18" s="3" t="s">
        <v>17</v>
      </c>
      <c r="D18" s="3" t="s">
        <v>19</v>
      </c>
      <c r="E18" s="3">
        <v>24</v>
      </c>
      <c r="F18" s="3" t="s">
        <v>21</v>
      </c>
      <c r="G18" s="3" t="s">
        <v>22</v>
      </c>
      <c r="I18" s="3" t="s">
        <v>23</v>
      </c>
    </row>
    <row r="19" spans="1:9" x14ac:dyDescent="0.2">
      <c r="A19" s="3" t="s">
        <v>72</v>
      </c>
      <c r="B19" s="3" t="s">
        <v>77</v>
      </c>
      <c r="C19" s="3" t="s">
        <v>17</v>
      </c>
      <c r="D19" s="3" t="s">
        <v>19</v>
      </c>
      <c r="E19" s="3">
        <v>18</v>
      </c>
      <c r="F19" s="3" t="s">
        <v>69</v>
      </c>
      <c r="G19" s="3" t="s">
        <v>22</v>
      </c>
      <c r="I19" s="3" t="s">
        <v>23</v>
      </c>
    </row>
    <row r="20" spans="1:9" x14ac:dyDescent="0.2">
      <c r="A20" s="3" t="s">
        <v>78</v>
      </c>
      <c r="B20" s="3" t="s">
        <v>79</v>
      </c>
      <c r="C20" s="3" t="s">
        <v>17</v>
      </c>
      <c r="D20" s="3" t="s">
        <v>19</v>
      </c>
      <c r="E20" s="3">
        <v>20</v>
      </c>
      <c r="F20" s="3" t="s">
        <v>35</v>
      </c>
      <c r="G20" s="3" t="s">
        <v>22</v>
      </c>
      <c r="I20" s="3" t="s">
        <v>48</v>
      </c>
    </row>
    <row r="21" spans="1:9" ht="15.75" customHeight="1" x14ac:dyDescent="0.2">
      <c r="A21" s="3" t="s">
        <v>47</v>
      </c>
      <c r="B21" s="3" t="s">
        <v>80</v>
      </c>
      <c r="E21" s="3">
        <v>1</v>
      </c>
      <c r="F21" s="3" t="s">
        <v>21</v>
      </c>
      <c r="G21" s="3" t="s">
        <v>22</v>
      </c>
      <c r="I21" s="3" t="s">
        <v>48</v>
      </c>
    </row>
    <row r="22" spans="1:9" ht="15.75" customHeight="1" x14ac:dyDescent="0.2">
      <c r="A22" s="3" t="s">
        <v>42</v>
      </c>
      <c r="B22" s="3" t="s">
        <v>81</v>
      </c>
      <c r="E22" s="3">
        <v>1</v>
      </c>
      <c r="F22" s="3" t="s">
        <v>82</v>
      </c>
      <c r="G22" s="3" t="s">
        <v>22</v>
      </c>
      <c r="I22" s="3" t="s">
        <v>48</v>
      </c>
    </row>
    <row r="23" spans="1:9" ht="15.75" customHeight="1" x14ac:dyDescent="0.2">
      <c r="A23" s="3" t="s">
        <v>52</v>
      </c>
      <c r="B23" s="3" t="s">
        <v>83</v>
      </c>
      <c r="E23" s="3">
        <v>1</v>
      </c>
      <c r="F23" s="3" t="s">
        <v>84</v>
      </c>
      <c r="G23" s="3" t="s">
        <v>22</v>
      </c>
      <c r="I23" s="3" t="s">
        <v>48</v>
      </c>
    </row>
    <row r="24" spans="1:9" ht="15.75" customHeight="1" x14ac:dyDescent="0.2">
      <c r="A24" s="3" t="s">
        <v>85</v>
      </c>
      <c r="B24" s="3" t="s">
        <v>87</v>
      </c>
      <c r="C24" s="3" t="s">
        <v>17</v>
      </c>
      <c r="D24" s="3" t="s">
        <v>19</v>
      </c>
      <c r="E24" s="3">
        <v>170</v>
      </c>
      <c r="F24" s="3" t="s">
        <v>21</v>
      </c>
      <c r="G24" s="3" t="s">
        <v>22</v>
      </c>
      <c r="I24" s="3" t="s">
        <v>23</v>
      </c>
    </row>
    <row r="25" spans="1:9" ht="15.75" customHeight="1" x14ac:dyDescent="0.2">
      <c r="A25" s="3" t="s">
        <v>43</v>
      </c>
      <c r="B25" s="3" t="s">
        <v>88</v>
      </c>
      <c r="C25" s="3" t="s">
        <v>17</v>
      </c>
      <c r="D25" s="3" t="s">
        <v>19</v>
      </c>
      <c r="E25" s="3">
        <v>60</v>
      </c>
      <c r="F25" s="3" t="s">
        <v>35</v>
      </c>
      <c r="G25" s="3" t="s">
        <v>22</v>
      </c>
      <c r="I25" s="3" t="s">
        <v>48</v>
      </c>
    </row>
    <row r="26" spans="1:9" ht="15.75" customHeight="1" x14ac:dyDescent="0.2">
      <c r="A26" s="3" t="s">
        <v>86</v>
      </c>
      <c r="B26" s="3" t="s">
        <v>89</v>
      </c>
      <c r="C26" s="3" t="s">
        <v>17</v>
      </c>
      <c r="D26" s="3" t="s">
        <v>19</v>
      </c>
      <c r="E26" s="3">
        <v>18</v>
      </c>
      <c r="F26" s="3" t="s">
        <v>35</v>
      </c>
      <c r="G26" s="3" t="s">
        <v>22</v>
      </c>
      <c r="I26" s="3" t="s">
        <v>23</v>
      </c>
    </row>
    <row r="27" spans="1:9" ht="15.75" customHeight="1" x14ac:dyDescent="0.2">
      <c r="A27" s="3" t="s">
        <v>51</v>
      </c>
      <c r="B27" s="3" t="s">
        <v>90</v>
      </c>
      <c r="E27" s="3">
        <v>1</v>
      </c>
      <c r="F27" s="3" t="s">
        <v>35</v>
      </c>
      <c r="G27" s="3" t="s">
        <v>22</v>
      </c>
      <c r="I27" s="3" t="s">
        <v>48</v>
      </c>
    </row>
    <row r="28" spans="1:9" ht="15.75" customHeight="1" x14ac:dyDescent="0.2">
      <c r="A28" s="3" t="s">
        <v>91</v>
      </c>
      <c r="B28" s="3" t="s">
        <v>92</v>
      </c>
      <c r="C28" s="3" t="s">
        <v>17</v>
      </c>
      <c r="D28" s="3" t="s">
        <v>19</v>
      </c>
      <c r="E28" s="3">
        <v>16</v>
      </c>
      <c r="F28" s="3" t="s">
        <v>69</v>
      </c>
      <c r="G28" s="3" t="s">
        <v>22</v>
      </c>
      <c r="I28" s="3" t="s">
        <v>48</v>
      </c>
    </row>
    <row r="29" spans="1:9" ht="15.75" customHeight="1" x14ac:dyDescent="0.2">
      <c r="A29" s="3" t="s">
        <v>93</v>
      </c>
      <c r="B29" s="3" t="s">
        <v>94</v>
      </c>
      <c r="C29" s="3" t="s">
        <v>95</v>
      </c>
      <c r="D29" s="3" t="s">
        <v>19</v>
      </c>
      <c r="E29" s="3">
        <v>1</v>
      </c>
      <c r="F29" s="3" t="s">
        <v>96</v>
      </c>
      <c r="G29" s="3" t="s">
        <v>97</v>
      </c>
      <c r="I29" s="3" t="s">
        <v>23</v>
      </c>
    </row>
    <row r="30" spans="1:9" ht="15.75" customHeight="1" x14ac:dyDescent="0.2">
      <c r="A30" s="3" t="s">
        <v>98</v>
      </c>
      <c r="B30" s="3" t="s">
        <v>99</v>
      </c>
      <c r="C30" s="3" t="s">
        <v>100</v>
      </c>
      <c r="D30" s="3" t="s">
        <v>19</v>
      </c>
      <c r="E30" s="3">
        <v>1</v>
      </c>
      <c r="F30" s="3" t="s">
        <v>35</v>
      </c>
      <c r="G30" s="3" t="s">
        <v>22</v>
      </c>
      <c r="I30" s="3" t="s">
        <v>23</v>
      </c>
    </row>
    <row r="31" spans="1:9" ht="15.75" customHeight="1" x14ac:dyDescent="0.2">
      <c r="A31" s="3" t="s">
        <v>101</v>
      </c>
      <c r="B31" s="3" t="s">
        <v>102</v>
      </c>
      <c r="C31" s="3" t="s">
        <v>103</v>
      </c>
      <c r="D31" s="3" t="s">
        <v>104</v>
      </c>
      <c r="E31" s="3">
        <v>1</v>
      </c>
      <c r="F31" s="3" t="s">
        <v>105</v>
      </c>
      <c r="G31" s="3" t="s">
        <v>97</v>
      </c>
      <c r="I31" s="3" t="s">
        <v>106</v>
      </c>
    </row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I31" xr:uid="{00000000-0001-0000-0100-000000000000}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4.5" defaultRowHeight="15" customHeight="1" x14ac:dyDescent="0.2"/>
  <cols>
    <col min="1" max="3" width="16" customWidth="1"/>
    <col min="4" max="4" width="19.83203125" customWidth="1"/>
    <col min="5" max="6" width="16" customWidth="1"/>
    <col min="7" max="7" width="22" customWidth="1"/>
    <col min="8" max="26" width="8.6640625" customWidth="1"/>
  </cols>
  <sheetData>
    <row r="1" spans="1:7" x14ac:dyDescent="0.2">
      <c r="A1" s="2" t="s">
        <v>1</v>
      </c>
      <c r="B1" s="2" t="s">
        <v>14</v>
      </c>
      <c r="C1" s="2" t="s">
        <v>18</v>
      </c>
      <c r="D1" s="2" t="s">
        <v>20</v>
      </c>
      <c r="E1" s="2" t="s">
        <v>24</v>
      </c>
      <c r="F1" s="2" t="s">
        <v>27</v>
      </c>
      <c r="G1" s="1" t="s">
        <v>29</v>
      </c>
    </row>
    <row r="2" spans="1:7" x14ac:dyDescent="0.2">
      <c r="A2" s="3" t="s">
        <v>31</v>
      </c>
      <c r="B2" s="3" t="s">
        <v>34</v>
      </c>
      <c r="C2" s="3">
        <v>4</v>
      </c>
      <c r="D2" s="5">
        <v>46199</v>
      </c>
      <c r="E2" s="3">
        <v>29.065000000000001</v>
      </c>
      <c r="F2" s="3">
        <v>116.26</v>
      </c>
      <c r="G2" s="6">
        <f>1478.08*F2</f>
        <v>171841.5808</v>
      </c>
    </row>
    <row r="13" spans="1:7" ht="15.75" customHeight="1" x14ac:dyDescent="0.2"/>
    <row r="14" spans="1:7" ht="15.75" customHeight="1" x14ac:dyDescent="0.2"/>
    <row r="15" spans="1:7" ht="15.75" customHeight="1" x14ac:dyDescent="0.2"/>
    <row r="16" spans="1: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</sheetData>
  <autoFilter ref="A1:G2" xr:uid="{00000000-0009-0000-0000-000002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4.5" defaultRowHeight="15" customHeight="1" x14ac:dyDescent="0.2"/>
  <cols>
    <col min="1" max="8" width="16" customWidth="1"/>
    <col min="9" max="26" width="8.6640625" customWidth="1"/>
  </cols>
  <sheetData>
    <row r="1" spans="1:8" x14ac:dyDescent="0.2">
      <c r="A1" s="2" t="s">
        <v>1</v>
      </c>
      <c r="B1" s="2" t="s">
        <v>14</v>
      </c>
      <c r="C1" s="2" t="s">
        <v>33</v>
      </c>
      <c r="D1" s="2" t="s">
        <v>20</v>
      </c>
      <c r="E1" s="2" t="s">
        <v>38</v>
      </c>
      <c r="F1" s="2" t="s">
        <v>24</v>
      </c>
      <c r="G1" s="2" t="s">
        <v>27</v>
      </c>
      <c r="H1" s="2" t="s">
        <v>41</v>
      </c>
    </row>
    <row r="2" spans="1:8" x14ac:dyDescent="0.2">
      <c r="A2" s="3" t="s">
        <v>43</v>
      </c>
      <c r="B2" s="3" t="s">
        <v>34</v>
      </c>
      <c r="C2" s="3">
        <v>45</v>
      </c>
      <c r="D2" s="3" t="s">
        <v>46</v>
      </c>
      <c r="E2" s="3">
        <v>770322.25394999993</v>
      </c>
      <c r="F2" s="3">
        <v>666.18</v>
      </c>
      <c r="G2" s="3">
        <v>499.63499999999999</v>
      </c>
      <c r="H2" s="3">
        <v>60</v>
      </c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"/>
      <c r="B4" s="3"/>
      <c r="C4" s="3"/>
      <c r="D4" s="3"/>
      <c r="E4" s="3"/>
      <c r="F4" s="3"/>
      <c r="G4" s="3"/>
      <c r="H4" s="3"/>
    </row>
    <row r="5" spans="1:8" x14ac:dyDescent="0.2">
      <c r="A5" s="3"/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x14ac:dyDescent="0.2">
      <c r="A12" s="3"/>
      <c r="B12" s="3"/>
      <c r="C12" s="3"/>
      <c r="D12" s="3"/>
      <c r="E12" s="3"/>
      <c r="F12" s="3"/>
      <c r="G12" s="3"/>
      <c r="H12" s="3"/>
    </row>
    <row r="13" spans="1:8" x14ac:dyDescent="0.2">
      <c r="A13" s="3"/>
      <c r="B13" s="3"/>
      <c r="C13" s="3"/>
      <c r="D13" s="3"/>
      <c r="E13" s="3"/>
      <c r="F13" s="3"/>
      <c r="G13" s="3"/>
      <c r="H13" s="3"/>
    </row>
    <row r="14" spans="1:8" x14ac:dyDescent="0.2">
      <c r="A14" s="3"/>
      <c r="B14" s="3"/>
      <c r="C14" s="3"/>
      <c r="D14" s="3"/>
      <c r="E14" s="3"/>
      <c r="F14" s="3"/>
      <c r="G14" s="3"/>
      <c r="H14" s="3"/>
    </row>
    <row r="15" spans="1:8" x14ac:dyDescent="0.2">
      <c r="A15" s="3"/>
      <c r="B15" s="3"/>
      <c r="C15" s="3"/>
      <c r="D15" s="3"/>
      <c r="E15" s="3"/>
      <c r="F15" s="3"/>
      <c r="G15" s="3"/>
      <c r="H15" s="3"/>
    </row>
    <row r="16" spans="1:8" x14ac:dyDescent="0.2">
      <c r="A16" s="3"/>
      <c r="B16" s="3"/>
      <c r="C16" s="3"/>
      <c r="D16" s="3"/>
      <c r="E16" s="3"/>
      <c r="F16" s="3"/>
      <c r="G16" s="3"/>
      <c r="H16" s="3"/>
    </row>
    <row r="17" spans="1:8" x14ac:dyDescent="0.2">
      <c r="A17" s="3"/>
      <c r="B17" s="3"/>
      <c r="C17" s="3"/>
      <c r="D17" s="3"/>
      <c r="E17" s="3"/>
      <c r="F17" s="3"/>
      <c r="G17" s="3"/>
      <c r="H17" s="3"/>
    </row>
    <row r="18" spans="1:8" x14ac:dyDescent="0.2">
      <c r="A18" s="3"/>
      <c r="B18" s="3"/>
      <c r="C18" s="3"/>
      <c r="D18" s="3"/>
      <c r="E18" s="3"/>
      <c r="F18" s="3"/>
      <c r="G18" s="3"/>
      <c r="H18" s="3"/>
    </row>
    <row r="19" spans="1:8" x14ac:dyDescent="0.2">
      <c r="A19" s="3"/>
      <c r="B19" s="3"/>
      <c r="C19" s="3"/>
      <c r="D19" s="3"/>
      <c r="E19" s="3"/>
      <c r="F19" s="3"/>
      <c r="G19" s="3"/>
      <c r="H19" s="3"/>
    </row>
    <row r="20" spans="1:8" x14ac:dyDescent="0.2">
      <c r="A20" s="3"/>
      <c r="B20" s="3"/>
      <c r="C20" s="3"/>
      <c r="D20" s="3"/>
      <c r="E20" s="3"/>
      <c r="F20" s="3"/>
      <c r="G20" s="3"/>
      <c r="H20" s="3"/>
    </row>
    <row r="21" spans="1:8" ht="15.75" customHeight="1" x14ac:dyDescent="0.2">
      <c r="A21" s="3"/>
      <c r="B21" s="3"/>
      <c r="C21" s="3"/>
      <c r="D21" s="3"/>
      <c r="E21" s="3"/>
      <c r="F21" s="3"/>
      <c r="G21" s="3"/>
      <c r="H21" s="3"/>
    </row>
    <row r="22" spans="1:8" ht="15.75" customHeight="1" x14ac:dyDescent="0.2">
      <c r="A22" s="3"/>
      <c r="B22" s="3"/>
      <c r="C22" s="3"/>
      <c r="D22" s="3"/>
      <c r="E22" s="3"/>
      <c r="F22" s="3"/>
      <c r="G22" s="3"/>
      <c r="H22" s="3"/>
    </row>
    <row r="23" spans="1:8" ht="15.75" customHeight="1" x14ac:dyDescent="0.2">
      <c r="A23" s="3"/>
      <c r="B23" s="3"/>
      <c r="C23" s="3"/>
      <c r="D23" s="3"/>
      <c r="E23" s="3"/>
      <c r="F23" s="3"/>
      <c r="G23" s="3"/>
      <c r="H23" s="3"/>
    </row>
    <row r="24" spans="1:8" ht="15.75" customHeight="1" x14ac:dyDescent="0.2">
      <c r="A24" s="3"/>
      <c r="B24" s="3"/>
      <c r="C24" s="3"/>
      <c r="D24" s="3"/>
      <c r="E24" s="3"/>
      <c r="F24" s="3"/>
      <c r="G24" s="3"/>
      <c r="H24" s="3"/>
    </row>
    <row r="25" spans="1:8" ht="15.75" customHeight="1" x14ac:dyDescent="0.2">
      <c r="A25" s="3"/>
      <c r="B25" s="3"/>
      <c r="C25" s="3"/>
      <c r="D25" s="3"/>
      <c r="E25" s="3"/>
      <c r="F25" s="3"/>
      <c r="G25" s="3"/>
      <c r="H25" s="3"/>
    </row>
    <row r="26" spans="1:8" ht="15.75" customHeight="1" x14ac:dyDescent="0.2">
      <c r="A26" s="3"/>
      <c r="B26" s="3"/>
      <c r="C26" s="3"/>
      <c r="D26" s="3"/>
      <c r="E26" s="3"/>
      <c r="F26" s="3"/>
      <c r="G26" s="3"/>
      <c r="H26" s="3"/>
    </row>
    <row r="27" spans="1:8" ht="15.75" customHeight="1" x14ac:dyDescent="0.2">
      <c r="A27" s="3"/>
      <c r="B27" s="3"/>
      <c r="C27" s="3"/>
      <c r="D27" s="3"/>
      <c r="E27" s="3"/>
      <c r="F27" s="3"/>
      <c r="G27" s="3"/>
      <c r="H27" s="3"/>
    </row>
    <row r="28" spans="1:8" ht="15.75" customHeight="1" x14ac:dyDescent="0.2">
      <c r="A28" s="3"/>
      <c r="B28" s="3"/>
      <c r="C28" s="3"/>
      <c r="D28" s="3"/>
      <c r="E28" s="3"/>
      <c r="F28" s="3"/>
      <c r="G28" s="3"/>
      <c r="H28" s="3"/>
    </row>
    <row r="29" spans="1:8" ht="15.75" customHeight="1" x14ac:dyDescent="0.2">
      <c r="A29" s="3"/>
      <c r="B29" s="3"/>
      <c r="C29" s="3"/>
      <c r="D29" s="3"/>
      <c r="E29" s="3"/>
      <c r="F29" s="3"/>
      <c r="G29" s="3"/>
      <c r="H29" s="3"/>
    </row>
    <row r="30" spans="1:8" ht="15.75" customHeight="1" x14ac:dyDescent="0.2">
      <c r="A30" s="3"/>
      <c r="B30" s="3"/>
      <c r="C30" s="3"/>
      <c r="D30" s="3"/>
      <c r="E30" s="3"/>
      <c r="F30" s="3"/>
      <c r="G30" s="3"/>
      <c r="H30" s="3"/>
    </row>
    <row r="31" spans="1:8" ht="15.75" customHeight="1" x14ac:dyDescent="0.2">
      <c r="A31" s="3"/>
      <c r="B31" s="3"/>
      <c r="C31" s="3"/>
      <c r="D31" s="3"/>
      <c r="E31" s="3"/>
      <c r="F31" s="3"/>
      <c r="G31" s="3"/>
      <c r="H31" s="3"/>
    </row>
    <row r="32" spans="1:8" ht="15.75" customHeight="1" x14ac:dyDescent="0.2">
      <c r="A32" s="3"/>
      <c r="B32" s="3"/>
      <c r="C32" s="3"/>
      <c r="D32" s="3"/>
      <c r="E32" s="3"/>
      <c r="F32" s="3"/>
      <c r="G32" s="3"/>
      <c r="H32" s="3"/>
    </row>
    <row r="33" spans="1:8" ht="15.75" customHeight="1" x14ac:dyDescent="0.2">
      <c r="A33" s="3"/>
      <c r="B33" s="3"/>
      <c r="C33" s="3"/>
      <c r="D33" s="3"/>
      <c r="E33" s="3"/>
      <c r="F33" s="3"/>
      <c r="G33" s="3"/>
      <c r="H33" s="3"/>
    </row>
    <row r="34" spans="1:8" ht="15.75" customHeight="1" x14ac:dyDescent="0.2">
      <c r="A34" s="3"/>
      <c r="B34" s="3"/>
      <c r="C34" s="3"/>
      <c r="D34" s="3"/>
      <c r="E34" s="3"/>
      <c r="F34" s="3"/>
      <c r="G34" s="3"/>
      <c r="H34" s="3"/>
    </row>
    <row r="35" spans="1:8" ht="15.75" customHeight="1" x14ac:dyDescent="0.2">
      <c r="A35" s="3"/>
      <c r="B35" s="3"/>
      <c r="C35" s="3"/>
      <c r="D35" s="3"/>
      <c r="E35" s="3"/>
      <c r="F35" s="3"/>
      <c r="G35" s="3"/>
      <c r="H35" s="3"/>
    </row>
    <row r="36" spans="1:8" ht="15.75" customHeight="1" x14ac:dyDescent="0.2">
      <c r="A36" s="3"/>
      <c r="B36" s="3"/>
      <c r="C36" s="3"/>
      <c r="D36" s="3"/>
      <c r="E36" s="3"/>
      <c r="F36" s="3"/>
      <c r="G36" s="3"/>
      <c r="H36" s="3"/>
    </row>
    <row r="37" spans="1:8" ht="15.75" customHeight="1" x14ac:dyDescent="0.2">
      <c r="A37" s="3"/>
      <c r="B37" s="3"/>
      <c r="C37" s="3"/>
      <c r="D37" s="3"/>
      <c r="E37" s="3"/>
      <c r="F37" s="3"/>
      <c r="G37" s="3"/>
      <c r="H37" s="3"/>
    </row>
    <row r="38" spans="1:8" ht="15.75" customHeight="1" x14ac:dyDescent="0.2">
      <c r="A38" s="3"/>
      <c r="B38" s="3"/>
      <c r="C38" s="3"/>
      <c r="D38" s="3"/>
      <c r="E38" s="3"/>
      <c r="F38" s="3"/>
      <c r="G38" s="3"/>
      <c r="H38" s="3"/>
    </row>
    <row r="39" spans="1:8" ht="15.75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15.75" customHeight="1" x14ac:dyDescent="0.2">
      <c r="A40" s="3"/>
      <c r="B40" s="3"/>
      <c r="C40" s="3"/>
      <c r="D40" s="3"/>
      <c r="E40" s="3"/>
      <c r="F40" s="3"/>
      <c r="G40" s="3"/>
      <c r="H40" s="3"/>
    </row>
    <row r="41" spans="1:8" ht="15.75" customHeight="1" x14ac:dyDescent="0.2">
      <c r="A41" s="3"/>
      <c r="B41" s="3"/>
      <c r="C41" s="3"/>
      <c r="D41" s="3"/>
      <c r="E41" s="3"/>
      <c r="F41" s="3"/>
      <c r="G41" s="3"/>
      <c r="H41" s="3"/>
    </row>
    <row r="42" spans="1:8" ht="15.75" customHeight="1" x14ac:dyDescent="0.2">
      <c r="A42" s="3"/>
      <c r="B42" s="3"/>
      <c r="C42" s="3"/>
      <c r="D42" s="3"/>
      <c r="E42" s="3"/>
      <c r="F42" s="3"/>
      <c r="G42" s="3"/>
      <c r="H42" s="3"/>
    </row>
    <row r="43" spans="1:8" ht="15.75" customHeight="1" x14ac:dyDescent="0.2">
      <c r="A43" s="6"/>
      <c r="B43" s="3"/>
      <c r="C43" s="3"/>
      <c r="D43" s="3"/>
      <c r="E43" s="3"/>
      <c r="F43" s="3"/>
      <c r="G43" s="3"/>
      <c r="H43" s="3"/>
    </row>
    <row r="44" spans="1:8" ht="15.75" customHeight="1" x14ac:dyDescent="0.2">
      <c r="A44" s="3"/>
      <c r="B44" s="3"/>
      <c r="C44" s="3"/>
      <c r="D44" s="3"/>
      <c r="E44" s="3"/>
      <c r="F44" s="3"/>
      <c r="G44" s="3"/>
      <c r="H44" s="3"/>
    </row>
    <row r="45" spans="1:8" ht="15.75" customHeight="1" x14ac:dyDescent="0.2">
      <c r="A45" s="3"/>
      <c r="B45" s="3"/>
      <c r="C45" s="3"/>
      <c r="D45" s="3"/>
      <c r="E45" s="3"/>
      <c r="F45" s="3"/>
      <c r="G45" s="3"/>
      <c r="H45" s="3"/>
    </row>
    <row r="46" spans="1:8" ht="15.75" customHeight="1" x14ac:dyDescent="0.2">
      <c r="A46" s="3"/>
      <c r="B46" s="3"/>
      <c r="C46" s="3"/>
      <c r="D46" s="3"/>
      <c r="E46" s="3"/>
      <c r="F46" s="3"/>
      <c r="G46" s="3"/>
      <c r="H46" s="3"/>
    </row>
    <row r="47" spans="1:8" ht="15.75" customHeight="1" x14ac:dyDescent="0.2">
      <c r="A47" s="3"/>
      <c r="B47" s="3"/>
      <c r="C47" s="3"/>
      <c r="D47" s="3"/>
      <c r="E47" s="3"/>
      <c r="F47" s="3"/>
      <c r="G47" s="3"/>
      <c r="H47" s="3"/>
    </row>
    <row r="48" spans="1:8" ht="15.75" customHeight="1" x14ac:dyDescent="0.2">
      <c r="A48" s="3"/>
      <c r="B48" s="3"/>
      <c r="C48" s="3"/>
      <c r="D48" s="3"/>
      <c r="E48" s="3"/>
      <c r="F48" s="3"/>
      <c r="G48" s="3"/>
      <c r="H48" s="3"/>
    </row>
    <row r="49" spans="1:8" ht="15.75" customHeight="1" x14ac:dyDescent="0.2">
      <c r="A49" s="3"/>
      <c r="B49" s="3"/>
      <c r="C49" s="3"/>
      <c r="D49" s="3"/>
      <c r="E49" s="3"/>
      <c r="F49" s="3"/>
      <c r="G49" s="3"/>
      <c r="H49" s="3"/>
    </row>
    <row r="50" spans="1:8" ht="15.75" customHeight="1" x14ac:dyDescent="0.2">
      <c r="A50" s="3"/>
      <c r="B50" s="3"/>
      <c r="C50" s="3"/>
      <c r="D50" s="3"/>
      <c r="E50" s="3"/>
      <c r="F50" s="3"/>
      <c r="G50" s="3"/>
      <c r="H50" s="3"/>
    </row>
    <row r="51" spans="1:8" ht="15.75" customHeight="1" x14ac:dyDescent="0.2">
      <c r="A51" s="3"/>
      <c r="B51" s="3"/>
      <c r="C51" s="3"/>
      <c r="D51" s="3"/>
      <c r="E51" s="3"/>
      <c r="F51" s="3"/>
      <c r="G51" s="3"/>
      <c r="H51" s="3"/>
    </row>
    <row r="52" spans="1:8" ht="15.75" customHeight="1" x14ac:dyDescent="0.2">
      <c r="A52" s="3"/>
      <c r="B52" s="3"/>
      <c r="C52" s="3"/>
      <c r="D52" s="3"/>
      <c r="E52" s="3"/>
      <c r="F52" s="3"/>
      <c r="G52" s="3"/>
      <c r="H52" s="3"/>
    </row>
    <row r="53" spans="1:8" ht="15.75" customHeight="1" x14ac:dyDescent="0.2">
      <c r="A53" s="3"/>
      <c r="B53" s="3"/>
      <c r="C53" s="3"/>
      <c r="D53" s="3"/>
      <c r="E53" s="3"/>
      <c r="F53" s="3"/>
      <c r="G53" s="3"/>
      <c r="H53" s="3"/>
    </row>
    <row r="54" spans="1:8" ht="15.75" customHeight="1" x14ac:dyDescent="0.2">
      <c r="A54" s="3"/>
      <c r="B54" s="3"/>
      <c r="C54" s="3"/>
      <c r="D54" s="3"/>
      <c r="E54" s="3"/>
      <c r="F54" s="3"/>
      <c r="G54" s="3"/>
      <c r="H54" s="3"/>
    </row>
    <row r="55" spans="1:8" ht="15.75" customHeight="1" x14ac:dyDescent="0.2">
      <c r="A55" s="3"/>
      <c r="B55" s="3"/>
      <c r="C55" s="3"/>
      <c r="D55" s="3"/>
      <c r="E55" s="3"/>
      <c r="F55" s="3"/>
      <c r="G55" s="3"/>
      <c r="H55" s="3"/>
    </row>
    <row r="56" spans="1:8" ht="15.75" customHeight="1" x14ac:dyDescent="0.2">
      <c r="A56" s="3"/>
      <c r="B56" s="3"/>
      <c r="C56" s="3"/>
      <c r="D56" s="3"/>
      <c r="E56" s="3"/>
      <c r="F56" s="3"/>
      <c r="G56" s="3"/>
      <c r="H56" s="3"/>
    </row>
    <row r="57" spans="1:8" ht="15.75" customHeight="1" x14ac:dyDescent="0.2">
      <c r="A57" s="3"/>
      <c r="B57" s="3"/>
      <c r="C57" s="3"/>
      <c r="D57" s="3"/>
      <c r="E57" s="3"/>
      <c r="F57" s="3"/>
      <c r="G57" s="3"/>
      <c r="H57" s="3"/>
    </row>
    <row r="58" spans="1:8" ht="15.75" customHeight="1" x14ac:dyDescent="0.2">
      <c r="A58" s="3"/>
      <c r="B58" s="3"/>
      <c r="C58" s="3"/>
      <c r="D58" s="3"/>
      <c r="E58" s="3"/>
      <c r="F58" s="3"/>
      <c r="G58" s="3"/>
      <c r="H58" s="3"/>
    </row>
    <row r="59" spans="1:8" ht="15.75" customHeight="1" x14ac:dyDescent="0.2">
      <c r="A59" s="3"/>
      <c r="B59" s="3"/>
      <c r="C59" s="3"/>
      <c r="D59" s="3"/>
      <c r="E59" s="3"/>
      <c r="F59" s="3"/>
      <c r="G59" s="3"/>
      <c r="H59" s="3"/>
    </row>
    <row r="60" spans="1:8" ht="15.75" customHeight="1" x14ac:dyDescent="0.2">
      <c r="A60" s="3"/>
      <c r="B60" s="3"/>
      <c r="C60" s="3"/>
      <c r="D60" s="3"/>
      <c r="E60" s="3"/>
      <c r="F60" s="3"/>
      <c r="G60" s="3"/>
      <c r="H60" s="3"/>
    </row>
    <row r="61" spans="1:8" ht="15.75" customHeight="1" x14ac:dyDescent="0.2">
      <c r="A61" s="3"/>
      <c r="B61" s="3"/>
      <c r="C61" s="3"/>
      <c r="D61" s="3"/>
      <c r="E61" s="3"/>
      <c r="F61" s="3"/>
      <c r="G61" s="3"/>
      <c r="H61" s="3"/>
    </row>
    <row r="62" spans="1:8" ht="15.75" customHeight="1" x14ac:dyDescent="0.2">
      <c r="A62" s="3"/>
      <c r="B62" s="3"/>
      <c r="C62" s="3"/>
      <c r="D62" s="3"/>
      <c r="E62" s="3"/>
      <c r="F62" s="3"/>
      <c r="G62" s="3"/>
      <c r="H62" s="3"/>
    </row>
    <row r="63" spans="1:8" ht="15.75" customHeight="1" x14ac:dyDescent="0.2">
      <c r="A63" s="3"/>
      <c r="B63" s="3"/>
      <c r="C63" s="3"/>
      <c r="D63" s="3"/>
      <c r="E63" s="3"/>
      <c r="F63" s="3"/>
      <c r="G63" s="3"/>
      <c r="H63" s="3"/>
    </row>
    <row r="64" spans="1:8" ht="15.75" customHeight="1" x14ac:dyDescent="0.2">
      <c r="A64" s="3"/>
      <c r="B64" s="3"/>
      <c r="C64" s="3"/>
      <c r="D64" s="3"/>
      <c r="E64" s="3"/>
      <c r="F64" s="3"/>
      <c r="G64" s="3"/>
      <c r="H64" s="3"/>
    </row>
    <row r="65" spans="1:8" ht="15.75" customHeight="1" x14ac:dyDescent="0.2">
      <c r="A65" s="3"/>
      <c r="B65" s="3"/>
      <c r="C65" s="3"/>
      <c r="D65" s="3"/>
      <c r="E65" s="3"/>
      <c r="F65" s="3"/>
      <c r="G65" s="3"/>
      <c r="H65" s="3"/>
    </row>
    <row r="66" spans="1:8" ht="15.75" customHeight="1" x14ac:dyDescent="0.2">
      <c r="A66" s="3"/>
      <c r="B66" s="3"/>
      <c r="C66" s="3"/>
      <c r="D66" s="3"/>
      <c r="E66" s="3"/>
      <c r="F66" s="3"/>
      <c r="G66" s="3"/>
      <c r="H66" s="3"/>
    </row>
    <row r="67" spans="1:8" ht="15.75" customHeight="1" x14ac:dyDescent="0.2"/>
    <row r="68" spans="1:8" ht="15.75" customHeight="1" x14ac:dyDescent="0.2"/>
    <row r="69" spans="1:8" ht="15.75" customHeight="1" x14ac:dyDescent="0.2"/>
    <row r="70" spans="1:8" ht="15.75" customHeight="1" x14ac:dyDescent="0.2"/>
    <row r="71" spans="1:8" ht="15.75" customHeight="1" x14ac:dyDescent="0.2"/>
    <row r="72" spans="1:8" ht="15.75" customHeight="1" x14ac:dyDescent="0.2"/>
    <row r="73" spans="1:8" ht="15.75" customHeight="1" x14ac:dyDescent="0.2"/>
    <row r="74" spans="1:8" ht="15.75" customHeight="1" x14ac:dyDescent="0.2"/>
    <row r="75" spans="1:8" ht="15.75" customHeight="1" x14ac:dyDescent="0.2"/>
    <row r="76" spans="1:8" ht="15.75" customHeight="1" x14ac:dyDescent="0.2"/>
    <row r="77" spans="1:8" ht="15.75" customHeight="1" x14ac:dyDescent="0.2"/>
    <row r="78" spans="1:8" ht="15.75" customHeight="1" x14ac:dyDescent="0.2"/>
    <row r="79" spans="1:8" ht="15.75" customHeight="1" x14ac:dyDescent="0.2"/>
    <row r="80" spans="1: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H66" xr:uid="{00000000-0009-0000-0000-000003000000}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7" width="16" customWidth="1"/>
    <col min="8" max="8" width="18" customWidth="1"/>
    <col min="9" max="26" width="8.6640625" customWidth="1"/>
  </cols>
  <sheetData>
    <row r="1" spans="1:8" x14ac:dyDescent="0.2">
      <c r="A1" s="2" t="s">
        <v>1</v>
      </c>
      <c r="B1" s="2" t="s">
        <v>14</v>
      </c>
      <c r="C1" s="2" t="s">
        <v>18</v>
      </c>
      <c r="D1" s="2" t="s">
        <v>20</v>
      </c>
      <c r="E1" s="2" t="s">
        <v>107</v>
      </c>
      <c r="F1" s="2" t="s">
        <v>108</v>
      </c>
      <c r="G1" s="1" t="s">
        <v>109</v>
      </c>
      <c r="H1" s="1" t="s">
        <v>110</v>
      </c>
    </row>
    <row r="2" spans="1:8" x14ac:dyDescent="0.2">
      <c r="A2" s="3" t="s">
        <v>93</v>
      </c>
      <c r="B2" s="3" t="s">
        <v>34</v>
      </c>
      <c r="C2" s="3">
        <v>2</v>
      </c>
      <c r="D2" s="5">
        <v>46199</v>
      </c>
      <c r="E2" s="3">
        <v>70400</v>
      </c>
      <c r="F2" s="3">
        <v>140800</v>
      </c>
      <c r="G2" s="3">
        <v>95.258520660000002</v>
      </c>
      <c r="H2" s="3">
        <v>47.629260330000001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H2" xr:uid="{00000000-0009-0000-0000-000004000000}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97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14.5" defaultRowHeight="15" customHeight="1" x14ac:dyDescent="0.2"/>
  <cols>
    <col min="1" max="1" width="10" customWidth="1"/>
    <col min="2" max="2" width="8" customWidth="1"/>
    <col min="3" max="3" width="10" customWidth="1"/>
    <col min="4" max="4" width="19.33203125" customWidth="1"/>
    <col min="5" max="6" width="20" customWidth="1"/>
    <col min="7" max="7" width="24" customWidth="1"/>
    <col min="8" max="26" width="8.6640625" customWidth="1"/>
  </cols>
  <sheetData>
    <row r="1" spans="1:7" ht="32" x14ac:dyDescent="0.2">
      <c r="A1" s="4" t="s">
        <v>1</v>
      </c>
      <c r="B1" s="4" t="s">
        <v>14</v>
      </c>
      <c r="C1" s="4" t="s">
        <v>18</v>
      </c>
      <c r="D1" s="4" t="s">
        <v>20</v>
      </c>
      <c r="E1" s="4" t="s">
        <v>24</v>
      </c>
      <c r="F1" s="4" t="s">
        <v>27</v>
      </c>
      <c r="G1" s="4" t="s">
        <v>29</v>
      </c>
    </row>
    <row r="2" spans="1:7" x14ac:dyDescent="0.2">
      <c r="A2" s="3" t="s">
        <v>98</v>
      </c>
      <c r="B2" s="3" t="s">
        <v>34</v>
      </c>
      <c r="C2" s="3">
        <v>9</v>
      </c>
      <c r="D2" s="5">
        <v>45678</v>
      </c>
      <c r="E2" s="3">
        <v>261.8768</v>
      </c>
      <c r="F2" s="3">
        <v>2356.8912</v>
      </c>
      <c r="G2">
        <f>1046.25*F2</f>
        <v>2465897.4180000001</v>
      </c>
    </row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tabSelected="1" workbookViewId="0">
      <pane ySplit="1" topLeftCell="A2" activePane="bottomLeft" state="frozen"/>
      <selection pane="bottomLeft" activeCell="G23" sqref="G23"/>
    </sheetView>
  </sheetViews>
  <sheetFormatPr baseColWidth="10" defaultColWidth="14.5" defaultRowHeight="15" customHeight="1" x14ac:dyDescent="0.2"/>
  <cols>
    <col min="1" max="1" width="10" customWidth="1"/>
    <col min="2" max="2" width="8" customWidth="1"/>
    <col min="3" max="3" width="10" customWidth="1"/>
    <col min="4" max="4" width="14" customWidth="1"/>
    <col min="5" max="7" width="16" customWidth="1"/>
    <col min="8" max="8" width="18" customWidth="1"/>
    <col min="9" max="26" width="8.6640625" customWidth="1"/>
  </cols>
  <sheetData>
    <row r="1" spans="1:8" ht="32" x14ac:dyDescent="0.2">
      <c r="A1" s="4" t="s">
        <v>1</v>
      </c>
      <c r="B1" s="4" t="s">
        <v>14</v>
      </c>
      <c r="C1" s="4" t="s">
        <v>18</v>
      </c>
      <c r="D1" s="4" t="s">
        <v>20</v>
      </c>
      <c r="E1" s="4" t="s">
        <v>107</v>
      </c>
      <c r="F1" s="4" t="s">
        <v>108</v>
      </c>
      <c r="G1" s="4" t="s">
        <v>109</v>
      </c>
      <c r="H1" s="4" t="s">
        <v>110</v>
      </c>
    </row>
    <row r="2" spans="1:8" x14ac:dyDescent="0.2">
      <c r="A2" s="3" t="s">
        <v>101</v>
      </c>
      <c r="B2" s="3" t="s">
        <v>34</v>
      </c>
      <c r="C2" s="3">
        <v>1032</v>
      </c>
      <c r="D2" s="3" t="s">
        <v>111</v>
      </c>
      <c r="E2" s="3">
        <v>1364.4638701550391</v>
      </c>
      <c r="F2" s="3">
        <v>1408126.7139999999</v>
      </c>
      <c r="G2" s="3">
        <v>982.98</v>
      </c>
      <c r="H2" s="3">
        <v>0.95250000000000001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instrumentos</vt:lpstr>
      <vt:lpstr>tx-usd</vt:lpstr>
      <vt:lpstr>tx-cedears</vt:lpstr>
      <vt:lpstr>tx-merval</vt:lpstr>
      <vt:lpstr>tx-rsu</vt:lpstr>
      <vt:lpstr>tx-bonds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Agustina Dagnino</cp:lastModifiedBy>
  <dcterms:modified xsi:type="dcterms:W3CDTF">2026-08-03T05:41:33Z</dcterms:modified>
</cp:coreProperties>
</file>